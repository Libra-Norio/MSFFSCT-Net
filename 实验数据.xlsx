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读研\课题\大论文\"/>
    </mc:Choice>
  </mc:AlternateContent>
  <xr:revisionPtr revIDLastSave="0" documentId="13_ncr:1_{BCA60D1F-A648-4CD7-8BA7-A4EB9703BBCE}" xr6:coauthVersionLast="47" xr6:coauthVersionMax="47" xr10:uidLastSave="{00000000-0000-0000-0000-000000000000}"/>
  <bookViews>
    <workbookView xWindow="-108" yWindow="-108" windowWidth="23256" windowHeight="12576" tabRatio="724" xr2:uid="{00000000-000D-0000-FFFF-FFFF00000000}"/>
  </bookViews>
  <sheets>
    <sheet name="负荷分解+状态识别 消融实验 UK-DALE" sheetId="4" r:id="rId1"/>
    <sheet name="负荷分解+状态识别 对比实验 UK-DALE" sheetId="6" r:id="rId2"/>
    <sheet name="负荷分解+状态识别 对比实验 REDD" sheetId="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4" l="1"/>
  <c r="H9" i="4"/>
  <c r="H10" i="4"/>
  <c r="G10" i="4"/>
  <c r="G9" i="4"/>
  <c r="G8" i="4"/>
  <c r="F30" i="8"/>
  <c r="F29" i="8"/>
  <c r="F28" i="8"/>
  <c r="G30" i="6"/>
  <c r="G29" i="6"/>
  <c r="G28" i="6"/>
  <c r="G18" i="4"/>
  <c r="G25" i="6"/>
  <c r="G24" i="6"/>
  <c r="G23" i="6"/>
  <c r="F25" i="8"/>
  <c r="F24" i="8"/>
  <c r="F23" i="8"/>
  <c r="F8" i="8"/>
  <c r="F13" i="8"/>
  <c r="F18" i="8"/>
  <c r="G20" i="6"/>
  <c r="G19" i="6"/>
  <c r="G18" i="6"/>
  <c r="F19" i="8"/>
  <c r="F20" i="8"/>
  <c r="F9" i="8"/>
  <c r="F10" i="8"/>
  <c r="F15" i="8"/>
  <c r="F14" i="8"/>
  <c r="F5" i="8"/>
  <c r="F4" i="8"/>
  <c r="F3" i="8"/>
  <c r="G3" i="6"/>
  <c r="G15" i="6"/>
  <c r="G14" i="6"/>
  <c r="G13" i="6"/>
  <c r="G10" i="6"/>
  <c r="G9" i="6"/>
  <c r="G8" i="6"/>
  <c r="G5" i="6"/>
  <c r="G4" i="6"/>
  <c r="G20" i="4"/>
  <c r="H15" i="4" s="1"/>
  <c r="G19" i="4"/>
  <c r="H14" i="4" s="1"/>
  <c r="G15" i="4"/>
  <c r="G14" i="4"/>
  <c r="G13" i="4"/>
  <c r="G5" i="4"/>
  <c r="G4" i="4"/>
  <c r="G3" i="4"/>
  <c r="H3" i="4" s="1"/>
  <c r="H5" i="4" l="1"/>
  <c r="H4" i="4"/>
  <c r="H13" i="4"/>
</calcChain>
</file>

<file path=xl/sharedStrings.xml><?xml version="1.0" encoding="utf-8"?>
<sst xmlns="http://schemas.openxmlformats.org/spreadsheetml/2006/main" count="158" uniqueCount="22">
  <si>
    <t>fridge</t>
    <phoneticPr fontId="1" type="noConversion"/>
  </si>
  <si>
    <t>dishwasher</t>
    <phoneticPr fontId="1" type="noConversion"/>
  </si>
  <si>
    <t>kettle</t>
    <phoneticPr fontId="1" type="noConversion"/>
  </si>
  <si>
    <t>microwave</t>
    <phoneticPr fontId="1" type="noConversion"/>
  </si>
  <si>
    <t>washing_machine</t>
    <phoneticPr fontId="1" type="noConversion"/>
  </si>
  <si>
    <t>F1</t>
    <phoneticPr fontId="1" type="noConversion"/>
  </si>
  <si>
    <t>MAE</t>
    <phoneticPr fontId="1" type="noConversion"/>
  </si>
  <si>
    <t>平均</t>
    <phoneticPr fontId="1" type="noConversion"/>
  </si>
  <si>
    <t>NEP</t>
    <phoneticPr fontId="1" type="noConversion"/>
  </si>
  <si>
    <r>
      <rPr>
        <sz val="14"/>
        <rFont val="宋体"/>
        <family val="1"/>
        <charset val="134"/>
      </rPr>
      <t>平均</t>
    </r>
    <phoneticPr fontId="1" type="noConversion"/>
  </si>
  <si>
    <r>
      <rPr>
        <sz val="14"/>
        <color theme="1"/>
        <rFont val="宋体"/>
        <family val="1"/>
        <charset val="134"/>
      </rPr>
      <t>增长率</t>
    </r>
    <r>
      <rPr>
        <sz val="14"/>
        <color theme="1"/>
        <rFont val="Times New Roman"/>
        <family val="1"/>
      </rPr>
      <t>(</t>
    </r>
    <r>
      <rPr>
        <sz val="14"/>
        <color theme="1"/>
        <rFont val="宋体"/>
        <family val="1"/>
        <charset val="134"/>
      </rPr>
      <t>与</t>
    </r>
    <r>
      <rPr>
        <sz val="14"/>
        <color theme="1"/>
        <rFont val="Times New Roman"/>
        <family val="1"/>
      </rPr>
      <t>S2P</t>
    </r>
    <r>
      <rPr>
        <sz val="14"/>
        <color theme="1"/>
        <rFont val="宋体"/>
        <family val="1"/>
        <charset val="134"/>
      </rPr>
      <t>相比</t>
    </r>
    <r>
      <rPr>
        <sz val="14"/>
        <color theme="1"/>
        <rFont val="Times New Roman"/>
        <family val="1"/>
      </rPr>
      <t>)</t>
    </r>
    <phoneticPr fontId="1" type="noConversion"/>
  </si>
  <si>
    <r>
      <rPr>
        <sz val="14"/>
        <color theme="1"/>
        <rFont val="宋体"/>
        <family val="1"/>
        <charset val="134"/>
      </rPr>
      <t>增长率</t>
    </r>
    <phoneticPr fontId="1" type="noConversion"/>
  </si>
  <si>
    <r>
      <rPr>
        <sz val="14"/>
        <rFont val="宋体"/>
        <family val="1"/>
        <charset val="134"/>
      </rPr>
      <t>本文</t>
    </r>
    <phoneticPr fontId="1" type="noConversion"/>
  </si>
  <si>
    <t>Seq2Point-Balanced(2025)</t>
    <phoneticPr fontId="1" type="noConversion"/>
  </si>
  <si>
    <t>AugLPN-NILM(2024)</t>
    <phoneticPr fontId="1" type="noConversion"/>
  </si>
  <si>
    <t>Seq2Point(2018)</t>
    <phoneticPr fontId="1" type="noConversion"/>
  </si>
  <si>
    <r>
      <rPr>
        <sz val="14"/>
        <rFont val="宋体"/>
        <family val="1"/>
        <charset val="134"/>
      </rPr>
      <t>双向</t>
    </r>
    <r>
      <rPr>
        <sz val="14"/>
        <rFont val="Times New Roman"/>
        <family val="1"/>
      </rPr>
      <t>LSTM(2018)</t>
    </r>
    <phoneticPr fontId="1" type="noConversion"/>
  </si>
  <si>
    <t>EdgeTCNformer(2026)</t>
    <phoneticPr fontId="1" type="noConversion"/>
  </si>
  <si>
    <t>S2P</t>
    <phoneticPr fontId="1" type="noConversion"/>
  </si>
  <si>
    <t>S2P+CBAM</t>
    <phoneticPr fontId="1" type="noConversion"/>
  </si>
  <si>
    <t>S2P+CBAM+TRANSFORMER+GATE</t>
    <phoneticPr fontId="1" type="noConversion"/>
  </si>
  <si>
    <t>S2P+CBAM+TRANSFORMER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</si>
</sst>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name val="宋体"/>
      <family val="1"/>
      <charset val="134"/>
    </font>
    <font>
      <sz val="14"/>
      <color theme="1"/>
      <name val="宋体"/>
      <family val="1"/>
      <charset val="134"/>
    </font>
    <font>
      <b/>
      <sz val="14"/>
      <color rgb="FFFF0000"/>
      <name val="Times New Roman"/>
      <family val="1"/>
    </font>
    <font>
      <sz val="14"/>
      <color theme="1"/>
      <name val="Times New Roman"/>
      <family val="1"/>
      <charset val="134"/>
    </font>
    <font>
      <sz val="14"/>
      <name val="Times New Roman"/>
      <family val="1"/>
      <charset val="134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0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10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77" fontId="3" fillId="0" borderId="0" xfId="0" applyNumberFormat="1" applyFont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35858</xdr:colOff>
      <xdr:row>20</xdr:row>
      <xdr:rowOff>44826</xdr:rowOff>
    </xdr:from>
    <xdr:to>
      <xdr:col>4</xdr:col>
      <xdr:colOff>1064110</xdr:colOff>
      <xdr:row>24</xdr:row>
      <xdr:rowOff>82030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03DC409-0B54-4BA9-ADD8-6A477B6D4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58" y="3541061"/>
          <a:ext cx="4578276" cy="969533"/>
        </a:xfrm>
        <a:prstGeom prst="rect">
          <a:avLst/>
        </a:prstGeom>
      </xdr:spPr>
    </xdr:pic>
    <xdr:clientData/>
  </xdr:twoCellAnchor>
  <xdr:twoCellAnchor editAs="oneCell">
    <xdr:from>
      <xdr:col>8</xdr:col>
      <xdr:colOff>80684</xdr:colOff>
      <xdr:row>0</xdr:row>
      <xdr:rowOff>188258</xdr:rowOff>
    </xdr:from>
    <xdr:to>
      <xdr:col>11</xdr:col>
      <xdr:colOff>885962</xdr:colOff>
      <xdr:row>13</xdr:row>
      <xdr:rowOff>173240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7FFD642-AE2B-FF9A-81F7-7BBA7FF4F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2896" y="188258"/>
          <a:ext cx="5377278" cy="3015053"/>
        </a:xfrm>
        <a:prstGeom prst="rect">
          <a:avLst/>
        </a:prstGeom>
      </xdr:spPr>
    </xdr:pic>
    <xdr:clientData/>
  </xdr:twoCellAnchor>
  <xdr:twoCellAnchor editAs="oneCell">
    <xdr:from>
      <xdr:col>4</xdr:col>
      <xdr:colOff>1120588</xdr:colOff>
      <xdr:row>20</xdr:row>
      <xdr:rowOff>17929</xdr:rowOff>
    </xdr:from>
    <xdr:to>
      <xdr:col>7</xdr:col>
      <xdr:colOff>223510</xdr:colOff>
      <xdr:row>26</xdr:row>
      <xdr:rowOff>71718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812CB965-4192-115F-D47B-8E26D19FE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70612" y="3514164"/>
          <a:ext cx="2213674" cy="1452283"/>
        </a:xfrm>
        <a:prstGeom prst="rect">
          <a:avLst/>
        </a:prstGeom>
      </xdr:spPr>
    </xdr:pic>
    <xdr:clientData/>
  </xdr:twoCellAnchor>
  <xdr:twoCellAnchor editAs="oneCell">
    <xdr:from>
      <xdr:col>7</xdr:col>
      <xdr:colOff>259977</xdr:colOff>
      <xdr:row>19</xdr:row>
      <xdr:rowOff>215153</xdr:rowOff>
    </xdr:from>
    <xdr:to>
      <xdr:col>7</xdr:col>
      <xdr:colOff>2309545</xdr:colOff>
      <xdr:row>26</xdr:row>
      <xdr:rowOff>89649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B301450-0541-469C-A43D-D3ECA7940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20753" y="3478306"/>
          <a:ext cx="2049568" cy="15060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30480</xdr:colOff>
      <xdr:row>13</xdr:row>
      <xdr:rowOff>209171</xdr:rowOff>
    </xdr:from>
    <xdr:to>
      <xdr:col>13</xdr:col>
      <xdr:colOff>609600</xdr:colOff>
      <xdr:row>17</xdr:row>
      <xdr:rowOff>63768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E8E26FC-292F-4CF6-9AF9-AFCBC9695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5320" y="3180971"/>
          <a:ext cx="3634740" cy="776617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</xdr:colOff>
      <xdr:row>0</xdr:row>
      <xdr:rowOff>7620</xdr:rowOff>
    </xdr:from>
    <xdr:to>
      <xdr:col>13</xdr:col>
      <xdr:colOff>165198</xdr:colOff>
      <xdr:row>13</xdr:row>
      <xdr:rowOff>50873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FCFF159-B638-44B4-B898-33816E31F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8380" y="7620"/>
          <a:ext cx="5377278" cy="3015053"/>
        </a:xfrm>
        <a:prstGeom prst="rect">
          <a:avLst/>
        </a:prstGeom>
      </xdr:spPr>
    </xdr:pic>
    <xdr:clientData/>
  </xdr:twoCellAnchor>
  <xdr:twoCellAnchor editAs="oneCell">
    <xdr:from>
      <xdr:col>7</xdr:col>
      <xdr:colOff>22861</xdr:colOff>
      <xdr:row>13</xdr:row>
      <xdr:rowOff>125470</xdr:rowOff>
    </xdr:from>
    <xdr:to>
      <xdr:col>9</xdr:col>
      <xdr:colOff>723901</xdr:colOff>
      <xdr:row>20</xdr:row>
      <xdr:rowOff>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AD352B5-0C89-4FE3-A369-806F8DCC2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80761" y="3097270"/>
          <a:ext cx="2103120" cy="1482350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53341</xdr:colOff>
      <xdr:row>18</xdr:row>
      <xdr:rowOff>15240</xdr:rowOff>
    </xdr:from>
    <xdr:to>
      <xdr:col>11</xdr:col>
      <xdr:colOff>1409933</xdr:colOff>
      <xdr:row>25</xdr:row>
      <xdr:rowOff>76200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4062915-26E1-0AA9-478C-75BF461A1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98181" y="4130040"/>
          <a:ext cx="2270992" cy="16687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83820</xdr:colOff>
      <xdr:row>0</xdr:row>
      <xdr:rowOff>172166</xdr:rowOff>
    </xdr:from>
    <xdr:to>
      <xdr:col>14</xdr:col>
      <xdr:colOff>571515</xdr:colOff>
      <xdr:row>9</xdr:row>
      <xdr:rowOff>198120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BAE2032-91B8-1106-D1DD-454BB48F8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1140" y="172166"/>
          <a:ext cx="5364495" cy="2083354"/>
        </a:xfrm>
        <a:prstGeom prst="rect">
          <a:avLst/>
        </a:prstGeom>
      </xdr:spPr>
    </xdr:pic>
    <xdr:clientData/>
  </xdr:twoCellAnchor>
  <xdr:twoCellAnchor editAs="oneCell">
    <xdr:from>
      <xdr:col>6</xdr:col>
      <xdr:colOff>7621</xdr:colOff>
      <xdr:row>10</xdr:row>
      <xdr:rowOff>137160</xdr:rowOff>
    </xdr:from>
    <xdr:to>
      <xdr:col>10</xdr:col>
      <xdr:colOff>9705</xdr:colOff>
      <xdr:row>19</xdr:row>
      <xdr:rowOff>38100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6C90925-494D-65A3-D7FF-9D85D8491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4941" y="2423160"/>
          <a:ext cx="2440484" cy="1958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</xdr:colOff>
      <xdr:row>10</xdr:row>
      <xdr:rowOff>167640</xdr:rowOff>
    </xdr:from>
    <xdr:to>
      <xdr:col>16</xdr:col>
      <xdr:colOff>30480</xdr:colOff>
      <xdr:row>14</xdr:row>
      <xdr:rowOff>29857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2A6E83B-1E89-4E04-8562-BF51AB8D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9060" y="2453640"/>
          <a:ext cx="3634740" cy="7766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5F6A-BA1B-4F08-B518-B7F03CDD7960}">
  <dimension ref="A1:U23"/>
  <sheetViews>
    <sheetView tabSelected="1" zoomScale="85" zoomScaleNormal="85" workbookViewId="0">
      <selection activeCell="J19" sqref="J19"/>
    </sheetView>
  </sheetViews>
  <sheetFormatPr defaultRowHeight="18" x14ac:dyDescent="0.35"/>
  <cols>
    <col min="1" max="4" width="12.88671875" style="2" customWidth="1"/>
    <col min="5" max="5" width="19.44140625" style="2" customWidth="1"/>
    <col min="6" max="7" width="12.88671875" style="2" customWidth="1"/>
    <col min="8" max="8" width="46.5546875" style="2" customWidth="1"/>
    <col min="9" max="9" width="36.21875" style="2" customWidth="1"/>
    <col min="10" max="10" width="17.109375" style="2" bestFit="1" customWidth="1"/>
    <col min="11" max="11" width="13.33203125" style="2" bestFit="1" customWidth="1"/>
    <col min="12" max="12" width="21.109375" style="2" bestFit="1" customWidth="1"/>
    <col min="13" max="13" width="16.88671875" style="2" customWidth="1"/>
    <col min="14" max="14" width="12.77734375" style="2" bestFit="1" customWidth="1"/>
    <col min="15" max="15" width="48.109375" style="2" bestFit="1" customWidth="1"/>
    <col min="16" max="16" width="17.109375" style="2" bestFit="1" customWidth="1"/>
    <col min="17" max="16384" width="8.88671875" style="2"/>
  </cols>
  <sheetData>
    <row r="1" spans="1:8" x14ac:dyDescent="0.35">
      <c r="A1" s="24" t="s">
        <v>20</v>
      </c>
      <c r="B1" s="24"/>
      <c r="C1" s="24"/>
      <c r="D1" s="24"/>
      <c r="E1" s="24"/>
      <c r="F1" s="24"/>
      <c r="G1" s="24"/>
      <c r="H1" s="24"/>
    </row>
    <row r="2" spans="1:8" ht="18.600000000000001" x14ac:dyDescent="0.35">
      <c r="A2" s="4"/>
      <c r="B2" s="4" t="s">
        <v>1</v>
      </c>
      <c r="C2" s="4" t="s">
        <v>2</v>
      </c>
      <c r="D2" s="4" t="s">
        <v>3</v>
      </c>
      <c r="E2" s="4" t="s">
        <v>4</v>
      </c>
      <c r="F2" s="4" t="s">
        <v>0</v>
      </c>
      <c r="G2" s="5" t="s">
        <v>7</v>
      </c>
      <c r="H2" s="17" t="s">
        <v>10</v>
      </c>
    </row>
    <row r="3" spans="1:8" x14ac:dyDescent="0.35">
      <c r="A3" s="4" t="s">
        <v>5</v>
      </c>
      <c r="B3" s="12">
        <v>0.73970000000000002</v>
      </c>
      <c r="C3" s="20">
        <v>0.94789999999999996</v>
      </c>
      <c r="D3" s="4">
        <v>0.64319999999999999</v>
      </c>
      <c r="E3" s="12">
        <v>0.91810000000000003</v>
      </c>
      <c r="F3" s="20">
        <v>0.88560000000000005</v>
      </c>
      <c r="G3" s="15">
        <f>AVERAGE(B3:F3)</f>
        <v>0.82689999999999997</v>
      </c>
      <c r="H3" s="8">
        <f>G3-$G$18</f>
        <v>0.45695999999999998</v>
      </c>
    </row>
    <row r="4" spans="1:8" x14ac:dyDescent="0.35">
      <c r="A4" s="4" t="s">
        <v>8</v>
      </c>
      <c r="B4" s="12">
        <v>0.31850000000000001</v>
      </c>
      <c r="C4" s="20">
        <v>0.31009999999999999</v>
      </c>
      <c r="D4" s="12">
        <v>0.96209999999999996</v>
      </c>
      <c r="E4" s="12">
        <v>0.3397</v>
      </c>
      <c r="F4" s="20">
        <v>0.35110000000000002</v>
      </c>
      <c r="G4" s="13">
        <f>AVERAGE(B4:F4)</f>
        <v>0.45630000000000004</v>
      </c>
      <c r="H4" s="8">
        <f>($G$19-G4)/$G$19</f>
        <v>0.85102840352595488</v>
      </c>
    </row>
    <row r="5" spans="1:8" x14ac:dyDescent="0.35">
      <c r="A5" s="4" t="s">
        <v>6</v>
      </c>
      <c r="B5" s="12">
        <v>8.3356999999999992</v>
      </c>
      <c r="C5" s="12">
        <v>7.4273999999999996</v>
      </c>
      <c r="D5" s="12">
        <v>9.9337</v>
      </c>
      <c r="E5" s="12">
        <v>8.6506000000000007</v>
      </c>
      <c r="F5" s="14">
        <v>14.5107</v>
      </c>
      <c r="G5" s="13">
        <f>AVERAGE(B5:F5)</f>
        <v>9.7716199999999986</v>
      </c>
      <c r="H5" s="8">
        <f>($G$20-G5)/$G$20</f>
        <v>0.75275442083785404</v>
      </c>
    </row>
    <row r="6" spans="1:8" x14ac:dyDescent="0.35">
      <c r="A6" s="24" t="s">
        <v>21</v>
      </c>
      <c r="B6" s="24"/>
      <c r="C6" s="24"/>
      <c r="D6" s="24"/>
      <c r="E6" s="24"/>
      <c r="F6" s="24"/>
      <c r="G6" s="24"/>
      <c r="H6" s="24"/>
    </row>
    <row r="7" spans="1:8" ht="18.600000000000001" x14ac:dyDescent="0.35">
      <c r="B7" s="4" t="s">
        <v>1</v>
      </c>
      <c r="C7" s="4" t="s">
        <v>2</v>
      </c>
      <c r="D7" s="4" t="s">
        <v>3</v>
      </c>
      <c r="E7" s="4" t="s">
        <v>4</v>
      </c>
      <c r="F7" s="4" t="s">
        <v>0</v>
      </c>
      <c r="G7" s="5" t="s">
        <v>7</v>
      </c>
      <c r="H7" s="17" t="s">
        <v>10</v>
      </c>
    </row>
    <row r="8" spans="1:8" x14ac:dyDescent="0.35">
      <c r="A8" s="4" t="s">
        <v>5</v>
      </c>
      <c r="B8" s="2">
        <v>0.5343</v>
      </c>
      <c r="C8" s="2">
        <v>0.94679999999999997</v>
      </c>
      <c r="D8" s="2">
        <v>0.31859999999999999</v>
      </c>
      <c r="E8" s="2">
        <v>0.76319999999999999</v>
      </c>
      <c r="F8" s="2">
        <v>0.87909999999999999</v>
      </c>
      <c r="G8" s="6">
        <f>AVERAGE(B8:F8)</f>
        <v>0.68840000000000001</v>
      </c>
      <c r="H8" s="8">
        <f>G8-$G$18</f>
        <v>0.31846000000000002</v>
      </c>
    </row>
    <row r="9" spans="1:8" s="1" customFormat="1" x14ac:dyDescent="0.35">
      <c r="A9" s="4" t="s">
        <v>8</v>
      </c>
      <c r="B9" s="1">
        <v>0.81620000000000004</v>
      </c>
      <c r="C9" s="1">
        <v>0.38279999999999997</v>
      </c>
      <c r="D9" s="1">
        <v>5.9741</v>
      </c>
      <c r="E9" s="1">
        <v>0.95450000000000002</v>
      </c>
      <c r="F9" s="1">
        <v>0.37240000000000001</v>
      </c>
      <c r="G9" s="7">
        <f t="shared" ref="G9" si="0">AVERAGE(B9:F9)</f>
        <v>1.7</v>
      </c>
      <c r="H9" s="8">
        <f>($G$19-G9)/$G$19</f>
        <v>0.44498857329415609</v>
      </c>
    </row>
    <row r="10" spans="1:8" x14ac:dyDescent="0.35">
      <c r="A10" s="4" t="s">
        <v>6</v>
      </c>
      <c r="B10" s="2">
        <v>32.387099999999997</v>
      </c>
      <c r="C10" s="2">
        <v>11.979699999999999</v>
      </c>
      <c r="D10" s="2">
        <v>32.387</v>
      </c>
      <c r="E10" s="2">
        <v>8.6971000000000007</v>
      </c>
      <c r="F10" s="2">
        <v>16.906199999999998</v>
      </c>
      <c r="G10" s="7">
        <f>AVERAGE(B10:F10)</f>
        <v>20.471420000000002</v>
      </c>
      <c r="H10" s="8">
        <f>($G$20-G10)/$G$20</f>
        <v>0.48202364662445546</v>
      </c>
    </row>
    <row r="11" spans="1:8" x14ac:dyDescent="0.35">
      <c r="A11" s="24" t="s">
        <v>19</v>
      </c>
      <c r="B11" s="24"/>
      <c r="C11" s="24"/>
      <c r="D11" s="24"/>
      <c r="E11" s="24"/>
      <c r="F11" s="24"/>
      <c r="G11" s="24"/>
      <c r="H11" s="24"/>
    </row>
    <row r="12" spans="1:8" ht="18.600000000000001" x14ac:dyDescent="0.35">
      <c r="A12" s="1"/>
      <c r="B12" s="4" t="s">
        <v>1</v>
      </c>
      <c r="C12" s="4" t="s">
        <v>2</v>
      </c>
      <c r="D12" s="4" t="s">
        <v>3</v>
      </c>
      <c r="E12" s="4" t="s">
        <v>4</v>
      </c>
      <c r="F12" s="4" t="s">
        <v>0</v>
      </c>
      <c r="G12" s="5" t="s">
        <v>7</v>
      </c>
      <c r="H12" s="2" t="s">
        <v>10</v>
      </c>
    </row>
    <row r="13" spans="1:8" x14ac:dyDescent="0.35">
      <c r="A13" s="4" t="s">
        <v>5</v>
      </c>
      <c r="B13" s="1">
        <v>7.9299999999999995E-2</v>
      </c>
      <c r="C13" s="1">
        <v>0.91639999999999999</v>
      </c>
      <c r="D13" s="16">
        <v>0.73780000000000001</v>
      </c>
      <c r="E13" s="1">
        <v>0.82379999999999998</v>
      </c>
      <c r="F13" s="1">
        <v>0.84019999999999995</v>
      </c>
      <c r="G13" s="6">
        <f>AVERAGE(B13:F13)</f>
        <v>0.67949999999999999</v>
      </c>
      <c r="H13" s="8">
        <f>G13-$G$18</f>
        <v>0.30956</v>
      </c>
    </row>
    <row r="14" spans="1:8" x14ac:dyDescent="0.35">
      <c r="A14" s="4" t="s">
        <v>8</v>
      </c>
      <c r="B14" s="4">
        <v>1.1399999999999999</v>
      </c>
      <c r="C14" s="4">
        <v>1.1956</v>
      </c>
      <c r="D14" s="4">
        <v>1.9883</v>
      </c>
      <c r="E14" s="4">
        <v>0.50170000000000003</v>
      </c>
      <c r="F14" s="4">
        <v>0.44009999999999999</v>
      </c>
      <c r="G14" s="7">
        <f t="shared" ref="G14" si="1">AVERAGE(B14:F14)</f>
        <v>1.05314</v>
      </c>
      <c r="H14" s="8">
        <f>($G$19-G14)/$G$19</f>
        <v>0.65617368592882797</v>
      </c>
    </row>
    <row r="15" spans="1:8" s="1" customFormat="1" x14ac:dyDescent="0.35">
      <c r="A15" s="4" t="s">
        <v>6</v>
      </c>
      <c r="B15" s="1">
        <v>29.835999999999999</v>
      </c>
      <c r="C15" s="1">
        <v>18.6569</v>
      </c>
      <c r="D15" s="1">
        <v>20.5291</v>
      </c>
      <c r="E15" s="1">
        <v>12.7767</v>
      </c>
      <c r="F15" s="1">
        <v>17.809999999999999</v>
      </c>
      <c r="G15" s="7">
        <f>AVERAGE(B15:F15)</f>
        <v>19.92174</v>
      </c>
      <c r="H15" s="8">
        <f>($G$20-G15)/$G$20</f>
        <v>0.49593187780350756</v>
      </c>
    </row>
    <row r="16" spans="1:8" x14ac:dyDescent="0.35">
      <c r="A16" s="24" t="s">
        <v>18</v>
      </c>
      <c r="B16" s="24"/>
      <c r="C16" s="24"/>
      <c r="D16" s="24"/>
      <c r="E16" s="24"/>
      <c r="F16" s="24"/>
      <c r="G16" s="24"/>
      <c r="H16" s="24"/>
    </row>
    <row r="17" spans="1:21" ht="18.600000000000001" x14ac:dyDescent="0.35">
      <c r="A17" s="1"/>
      <c r="B17" s="4" t="s">
        <v>1</v>
      </c>
      <c r="C17" s="4" t="s">
        <v>2</v>
      </c>
      <c r="D17" s="4" t="s">
        <v>3</v>
      </c>
      <c r="E17" s="4" t="s">
        <v>4</v>
      </c>
      <c r="F17" s="4" t="s">
        <v>0</v>
      </c>
      <c r="G17" s="5" t="s">
        <v>7</v>
      </c>
      <c r="H17" s="2" t="s">
        <v>11</v>
      </c>
      <c r="Q17" s="3"/>
      <c r="R17" s="3"/>
      <c r="S17" s="3"/>
      <c r="T17" s="3"/>
      <c r="U17" s="3"/>
    </row>
    <row r="18" spans="1:21" x14ac:dyDescent="0.35">
      <c r="A18" s="4" t="s">
        <v>5</v>
      </c>
      <c r="B18" s="1">
        <v>0.1434</v>
      </c>
      <c r="C18" s="1">
        <v>0.91490000000000005</v>
      </c>
      <c r="D18" s="1">
        <v>0.22639999999999999</v>
      </c>
      <c r="E18" s="1">
        <v>4.9299999999999997E-2</v>
      </c>
      <c r="F18" s="1">
        <v>0.51570000000000005</v>
      </c>
      <c r="G18" s="6">
        <f>AVERAGE(B18:F18)</f>
        <v>0.36993999999999999</v>
      </c>
      <c r="H18" s="8">
        <v>0</v>
      </c>
      <c r="Q18" s="3"/>
      <c r="R18" s="3"/>
      <c r="S18" s="3"/>
      <c r="T18" s="3"/>
      <c r="U18" s="3"/>
    </row>
    <row r="19" spans="1:21" x14ac:dyDescent="0.35">
      <c r="A19" s="4" t="s">
        <v>8</v>
      </c>
      <c r="B19" s="1">
        <v>1.2652000000000001</v>
      </c>
      <c r="C19" s="4">
        <v>0.74029999999999996</v>
      </c>
      <c r="D19" s="4">
        <v>6.4431000000000003</v>
      </c>
      <c r="E19" s="4">
        <v>6.1295000000000002</v>
      </c>
      <c r="F19" s="4">
        <v>0.7369</v>
      </c>
      <c r="G19" s="7">
        <f>AVERAGE(B19:F19)</f>
        <v>3.0630000000000002</v>
      </c>
      <c r="H19" s="8">
        <v>0</v>
      </c>
      <c r="Q19" s="3"/>
      <c r="R19" s="3"/>
      <c r="S19" s="3"/>
      <c r="T19" s="3"/>
      <c r="U19" s="3"/>
    </row>
    <row r="20" spans="1:21" x14ac:dyDescent="0.35">
      <c r="A20" s="4" t="s">
        <v>6</v>
      </c>
      <c r="B20" s="4">
        <v>50.206699999999998</v>
      </c>
      <c r="C20" s="1">
        <v>23.165400000000002</v>
      </c>
      <c r="D20" s="1">
        <v>34.9298</v>
      </c>
      <c r="E20" s="1">
        <v>55.849299999999999</v>
      </c>
      <c r="F20" s="1">
        <v>33.458399999999997</v>
      </c>
      <c r="G20" s="7">
        <f>AVERAGE(B20:F20)</f>
        <v>39.521920000000001</v>
      </c>
      <c r="H20" s="8">
        <v>0</v>
      </c>
      <c r="Q20" s="3"/>
      <c r="R20" s="3"/>
      <c r="S20" s="3"/>
      <c r="T20" s="3"/>
      <c r="U20" s="3"/>
    </row>
    <row r="22" spans="1:21" s="1" customFormat="1" x14ac:dyDescent="0.35"/>
    <row r="23" spans="1:21" s="1" customFormat="1" x14ac:dyDescent="0.35"/>
  </sheetData>
  <mergeCells count="4">
    <mergeCell ref="A1:H1"/>
    <mergeCell ref="A11:H11"/>
    <mergeCell ref="A16:H16"/>
    <mergeCell ref="A6:H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FA56-C988-47E9-8EC8-8A64BA918A3F}">
  <dimension ref="A1:H30"/>
  <sheetViews>
    <sheetView zoomScale="85" zoomScaleNormal="85" workbookViewId="0">
      <selection activeCell="R11" sqref="R11"/>
    </sheetView>
  </sheetViews>
  <sheetFormatPr defaultRowHeight="13.8" x14ac:dyDescent="0.25"/>
  <cols>
    <col min="1" max="1" width="6.88671875" style="11" bestFit="1" customWidth="1"/>
    <col min="2" max="2" width="13.5546875" style="11" bestFit="1" customWidth="1"/>
    <col min="3" max="3" width="11.77734375" style="11" customWidth="1"/>
    <col min="4" max="4" width="13.33203125" style="11" bestFit="1" customWidth="1"/>
    <col min="5" max="5" width="21.109375" style="11" bestFit="1" customWidth="1"/>
    <col min="6" max="6" width="10.109375" style="11" bestFit="1" customWidth="1"/>
    <col min="7" max="7" width="11.5546875" style="11" customWidth="1"/>
    <col min="8" max="8" width="6.88671875" style="11" bestFit="1" customWidth="1"/>
    <col min="9" max="9" width="13.5546875" style="11" bestFit="1" customWidth="1"/>
    <col min="10" max="10" width="11.44140625" style="11" bestFit="1" customWidth="1"/>
    <col min="11" max="11" width="13.33203125" style="11" bestFit="1" customWidth="1"/>
    <col min="12" max="12" width="21.109375" style="11" bestFit="1" customWidth="1"/>
    <col min="13" max="13" width="10.109375" style="11" bestFit="1" customWidth="1"/>
    <col min="14" max="14" width="9.21875" style="11" bestFit="1" customWidth="1"/>
    <col min="15" max="16384" width="8.88671875" style="11"/>
  </cols>
  <sheetData>
    <row r="1" spans="1:8" ht="18" x14ac:dyDescent="0.25">
      <c r="A1" s="24" t="s">
        <v>12</v>
      </c>
      <c r="B1" s="24"/>
      <c r="C1" s="24"/>
      <c r="D1" s="24"/>
      <c r="E1" s="24"/>
      <c r="F1" s="24"/>
      <c r="G1" s="24"/>
    </row>
    <row r="2" spans="1:8" ht="18" x14ac:dyDescent="0.25">
      <c r="A2" s="4"/>
      <c r="B2" s="4" t="s">
        <v>1</v>
      </c>
      <c r="C2" s="4" t="s">
        <v>2</v>
      </c>
      <c r="D2" s="4" t="s">
        <v>3</v>
      </c>
      <c r="E2" s="4" t="s">
        <v>4</v>
      </c>
      <c r="F2" s="4" t="s">
        <v>0</v>
      </c>
      <c r="G2" s="4" t="s">
        <v>9</v>
      </c>
    </row>
    <row r="3" spans="1:8" ht="18" x14ac:dyDescent="0.25">
      <c r="A3" s="4" t="s">
        <v>5</v>
      </c>
      <c r="B3" s="12">
        <v>0.73970000000000002</v>
      </c>
      <c r="C3" s="20">
        <v>0.94789999999999996</v>
      </c>
      <c r="D3" s="12">
        <v>0.64319999999999999</v>
      </c>
      <c r="E3" s="12">
        <v>0.91810000000000003</v>
      </c>
      <c r="F3" s="21">
        <v>0.88560000000000005</v>
      </c>
      <c r="G3" s="15">
        <f>AVERAGE(B3:F3)</f>
        <v>0.82689999999999997</v>
      </c>
    </row>
    <row r="4" spans="1:8" ht="18" x14ac:dyDescent="0.25">
      <c r="A4" s="4" t="s">
        <v>8</v>
      </c>
      <c r="B4" s="12">
        <v>0.31850000000000001</v>
      </c>
      <c r="C4" s="20">
        <v>0.31009999999999999</v>
      </c>
      <c r="D4" s="12">
        <v>0.96209999999999996</v>
      </c>
      <c r="E4" s="12">
        <v>0.3397</v>
      </c>
      <c r="F4" s="21">
        <v>0.35110000000000002</v>
      </c>
      <c r="G4" s="19">
        <f>AVERAGE(B4:F4)</f>
        <v>0.45630000000000004</v>
      </c>
    </row>
    <row r="5" spans="1:8" ht="18" x14ac:dyDescent="0.35">
      <c r="A5" s="4" t="s">
        <v>6</v>
      </c>
      <c r="B5" s="12">
        <v>8.3356999999999992</v>
      </c>
      <c r="C5" s="12">
        <v>7.4273999999999996</v>
      </c>
      <c r="D5" s="12">
        <v>9.9337</v>
      </c>
      <c r="E5" s="12">
        <v>8.6506000000000007</v>
      </c>
      <c r="F5" s="14">
        <v>14.5107</v>
      </c>
      <c r="G5" s="19">
        <f>AVERAGE(B5:F5)</f>
        <v>9.7716199999999986</v>
      </c>
    </row>
    <row r="6" spans="1:8" ht="18" x14ac:dyDescent="0.25">
      <c r="A6" s="24" t="s">
        <v>13</v>
      </c>
      <c r="B6" s="24"/>
      <c r="C6" s="24"/>
      <c r="D6" s="24"/>
      <c r="E6" s="24"/>
      <c r="F6" s="24"/>
      <c r="G6" s="24"/>
    </row>
    <row r="7" spans="1:8" ht="18" x14ac:dyDescent="0.25">
      <c r="A7" s="4"/>
      <c r="B7" s="4" t="s">
        <v>1</v>
      </c>
      <c r="C7" s="4" t="s">
        <v>2</v>
      </c>
      <c r="D7" s="4" t="s">
        <v>3</v>
      </c>
      <c r="E7" s="4" t="s">
        <v>4</v>
      </c>
      <c r="F7" s="4" t="s">
        <v>0</v>
      </c>
      <c r="G7" s="4" t="s">
        <v>9</v>
      </c>
    </row>
    <row r="8" spans="1:8" ht="18" x14ac:dyDescent="0.25">
      <c r="A8" s="4" t="s">
        <v>5</v>
      </c>
      <c r="B8" s="9">
        <v>9.2499999999999999E-2</v>
      </c>
      <c r="C8" s="9">
        <v>0.8125</v>
      </c>
      <c r="D8" s="4">
        <v>0.17730000000000001</v>
      </c>
      <c r="E8" s="9">
        <v>0.2462</v>
      </c>
      <c r="F8" s="9">
        <v>0.81820000000000004</v>
      </c>
      <c r="G8" s="6">
        <f>AVERAGE(B8:F8)</f>
        <v>0.42934</v>
      </c>
    </row>
    <row r="9" spans="1:8" ht="18" x14ac:dyDescent="0.25">
      <c r="A9" s="4" t="s">
        <v>8</v>
      </c>
      <c r="B9" s="9">
        <v>1.6679999999999999</v>
      </c>
      <c r="C9" s="9">
        <v>2.0375000000000001</v>
      </c>
      <c r="D9" s="9">
        <v>9.1456</v>
      </c>
      <c r="E9" s="9">
        <v>2.8050000000000002</v>
      </c>
      <c r="F9" s="9">
        <v>0.4713</v>
      </c>
      <c r="G9" s="18">
        <f>AVERAGE(B9:F9)</f>
        <v>3.2254799999999997</v>
      </c>
    </row>
    <row r="10" spans="1:8" ht="18" x14ac:dyDescent="0.25">
      <c r="A10" s="4" t="s">
        <v>6</v>
      </c>
      <c r="B10" s="9">
        <v>66.183400000000006</v>
      </c>
      <c r="C10" s="9">
        <v>44.306100000000001</v>
      </c>
      <c r="D10" s="9">
        <v>50.856000000000002</v>
      </c>
      <c r="E10" s="9">
        <v>27.5183</v>
      </c>
      <c r="F10" s="9">
        <v>21.362200000000001</v>
      </c>
      <c r="G10" s="18">
        <f>AVERAGE(B10:F10)</f>
        <v>42.045200000000008</v>
      </c>
    </row>
    <row r="11" spans="1:8" ht="18" x14ac:dyDescent="0.25">
      <c r="A11" s="24" t="s">
        <v>14</v>
      </c>
      <c r="B11" s="24"/>
      <c r="C11" s="24"/>
      <c r="D11" s="24"/>
      <c r="E11" s="24"/>
      <c r="F11" s="24"/>
      <c r="G11" s="24"/>
    </row>
    <row r="12" spans="1:8" ht="18" x14ac:dyDescent="0.25">
      <c r="A12" s="4"/>
      <c r="B12" s="4" t="s">
        <v>1</v>
      </c>
      <c r="C12" s="4" t="s">
        <v>2</v>
      </c>
      <c r="D12" s="4" t="s">
        <v>3</v>
      </c>
      <c r="E12" s="4" t="s">
        <v>4</v>
      </c>
      <c r="F12" s="4" t="s">
        <v>0</v>
      </c>
      <c r="G12" s="4" t="s">
        <v>9</v>
      </c>
    </row>
    <row r="13" spans="1:8" ht="18" x14ac:dyDescent="0.25">
      <c r="A13" s="4" t="s">
        <v>5</v>
      </c>
      <c r="B13" s="4">
        <v>0.21390000000000001</v>
      </c>
      <c r="C13" s="4">
        <v>0.80200000000000005</v>
      </c>
      <c r="D13" s="4">
        <v>0.37740000000000001</v>
      </c>
      <c r="E13" s="4">
        <v>0.46239999999999998</v>
      </c>
      <c r="F13" s="4">
        <v>0.61799999999999999</v>
      </c>
      <c r="G13" s="6">
        <f>AVERAGE(B13:F13)</f>
        <v>0.49474000000000001</v>
      </c>
    </row>
    <row r="14" spans="1:8" ht="18" x14ac:dyDescent="0.25">
      <c r="A14" s="4" t="s">
        <v>8</v>
      </c>
      <c r="B14" s="4">
        <v>0.92520000000000002</v>
      </c>
      <c r="C14" s="4">
        <v>0.81279999999999997</v>
      </c>
      <c r="D14" s="4">
        <v>3.8727</v>
      </c>
      <c r="E14" s="4">
        <v>1.3720000000000001</v>
      </c>
      <c r="F14" s="4">
        <v>0.85119999999999996</v>
      </c>
      <c r="G14" s="18">
        <f>AVERAGE(B14:F14)</f>
        <v>1.5667800000000001</v>
      </c>
    </row>
    <row r="15" spans="1:8" ht="18" x14ac:dyDescent="0.25">
      <c r="A15" s="4" t="s">
        <v>6</v>
      </c>
      <c r="B15" s="4">
        <v>36.709499999999998</v>
      </c>
      <c r="C15" s="4">
        <v>17.674399999999999</v>
      </c>
      <c r="D15" s="4">
        <v>21.534800000000001</v>
      </c>
      <c r="E15" s="4">
        <v>13.4603</v>
      </c>
      <c r="F15" s="4">
        <v>38.582099999999997</v>
      </c>
      <c r="G15" s="18">
        <f>AVERAGE(B15:F15)</f>
        <v>25.592220000000001</v>
      </c>
    </row>
    <row r="16" spans="1:8" ht="18" x14ac:dyDescent="0.25">
      <c r="A16" s="24" t="s">
        <v>15</v>
      </c>
      <c r="B16" s="24"/>
      <c r="C16" s="24"/>
      <c r="D16" s="24"/>
      <c r="E16" s="24"/>
      <c r="F16" s="24"/>
      <c r="G16" s="24"/>
      <c r="H16" s="10"/>
    </row>
    <row r="17" spans="1:7" ht="18.600000000000001" x14ac:dyDescent="0.35">
      <c r="A17" s="1"/>
      <c r="B17" s="4" t="s">
        <v>1</v>
      </c>
      <c r="C17" s="4" t="s">
        <v>2</v>
      </c>
      <c r="D17" s="4" t="s">
        <v>3</v>
      </c>
      <c r="E17" s="4" t="s">
        <v>4</v>
      </c>
      <c r="F17" s="4" t="s">
        <v>0</v>
      </c>
      <c r="G17" s="5" t="s">
        <v>7</v>
      </c>
    </row>
    <row r="18" spans="1:7" ht="18" x14ac:dyDescent="0.35">
      <c r="A18" s="4" t="s">
        <v>5</v>
      </c>
      <c r="B18" s="1">
        <v>9.8000000000000004E-2</v>
      </c>
      <c r="C18" s="1">
        <v>0.94159999999999999</v>
      </c>
      <c r="D18" s="1">
        <v>0.39760000000000001</v>
      </c>
      <c r="E18" s="1">
        <v>0.25850000000000001</v>
      </c>
      <c r="F18" s="1">
        <v>0.79469999999999996</v>
      </c>
      <c r="G18" s="6">
        <f>AVERAGE(B18:F18)</f>
        <v>0.49808000000000002</v>
      </c>
    </row>
    <row r="19" spans="1:7" ht="18" x14ac:dyDescent="0.35">
      <c r="A19" s="4" t="s">
        <v>8</v>
      </c>
      <c r="B19" s="1">
        <v>1.9131</v>
      </c>
      <c r="C19" s="4">
        <v>1.6415</v>
      </c>
      <c r="D19" s="4">
        <v>2.8325999999999998</v>
      </c>
      <c r="E19" s="4">
        <v>1.3414999999999999</v>
      </c>
      <c r="F19" s="4">
        <v>0.53190000000000004</v>
      </c>
      <c r="G19" s="18">
        <f>AVERAGE(B19:F19)</f>
        <v>1.65212</v>
      </c>
    </row>
    <row r="20" spans="1:7" ht="18" x14ac:dyDescent="0.35">
      <c r="A20" s="4" t="s">
        <v>6</v>
      </c>
      <c r="B20" s="4">
        <v>50.068600000000004</v>
      </c>
      <c r="C20" s="1">
        <v>25.614999999999998</v>
      </c>
      <c r="D20" s="1">
        <v>29.246600000000001</v>
      </c>
      <c r="E20" s="1">
        <v>34.1648</v>
      </c>
      <c r="F20" s="1">
        <v>21.521100000000001</v>
      </c>
      <c r="G20" s="18">
        <f>AVERAGE(B20:F20)</f>
        <v>32.123219999999996</v>
      </c>
    </row>
    <row r="21" spans="1:7" ht="18" x14ac:dyDescent="0.25">
      <c r="A21" s="25" t="s">
        <v>16</v>
      </c>
      <c r="B21" s="24"/>
      <c r="C21" s="24"/>
      <c r="D21" s="24"/>
      <c r="E21" s="24"/>
      <c r="F21" s="24"/>
      <c r="G21" s="24"/>
    </row>
    <row r="22" spans="1:7" ht="18.600000000000001" x14ac:dyDescent="0.35">
      <c r="A22" s="1"/>
      <c r="B22" s="4" t="s">
        <v>1</v>
      </c>
      <c r="C22" s="4" t="s">
        <v>2</v>
      </c>
      <c r="D22" s="4" t="s">
        <v>3</v>
      </c>
      <c r="E22" s="4" t="s">
        <v>4</v>
      </c>
      <c r="F22" s="4" t="s">
        <v>0</v>
      </c>
      <c r="G22" s="5" t="s">
        <v>7</v>
      </c>
    </row>
    <row r="23" spans="1:7" ht="18" x14ac:dyDescent="0.35">
      <c r="A23" s="4" t="s">
        <v>5</v>
      </c>
      <c r="B23" s="1">
        <v>0.2422</v>
      </c>
      <c r="C23" s="1">
        <v>0.57750000000000001</v>
      </c>
      <c r="D23" s="1">
        <v>0.15959999999999999</v>
      </c>
      <c r="E23" s="1">
        <v>0.52170000000000005</v>
      </c>
      <c r="F23" s="16">
        <v>0.89710000000000001</v>
      </c>
      <c r="G23" s="6">
        <f>AVERAGE(B23:F23)</f>
        <v>0.47961999999999999</v>
      </c>
    </row>
    <row r="24" spans="1:7" ht="18" x14ac:dyDescent="0.35">
      <c r="A24" s="4" t="s">
        <v>8</v>
      </c>
      <c r="B24" s="1">
        <v>0.93240000000000001</v>
      </c>
      <c r="C24" s="4">
        <v>1.8758999999999999</v>
      </c>
      <c r="D24" s="4">
        <v>4.1204999999999998</v>
      </c>
      <c r="E24" s="4">
        <v>2.6823000000000001</v>
      </c>
      <c r="F24" s="12">
        <v>0.33090000000000003</v>
      </c>
      <c r="G24" s="18">
        <f>AVERAGE(B24:F24)</f>
        <v>1.9883999999999999</v>
      </c>
    </row>
    <row r="25" spans="1:7" ht="18" x14ac:dyDescent="0.35">
      <c r="A25" s="4" t="s">
        <v>6</v>
      </c>
      <c r="B25" s="4">
        <v>36.998800000000003</v>
      </c>
      <c r="C25" s="1">
        <v>58.700200000000002</v>
      </c>
      <c r="D25" s="1">
        <v>22.337900000000001</v>
      </c>
      <c r="E25" s="1">
        <v>24.439499999999999</v>
      </c>
      <c r="F25" s="1">
        <v>15.042199999999999</v>
      </c>
      <c r="G25" s="18">
        <f>AVERAGE(B25:F25)</f>
        <v>31.503720000000005</v>
      </c>
    </row>
    <row r="26" spans="1:7" ht="18" x14ac:dyDescent="0.25">
      <c r="A26" s="24" t="s">
        <v>17</v>
      </c>
      <c r="B26" s="24"/>
      <c r="C26" s="24"/>
      <c r="D26" s="24"/>
      <c r="E26" s="24"/>
      <c r="F26" s="24"/>
      <c r="G26" s="24"/>
    </row>
    <row r="27" spans="1:7" ht="18" x14ac:dyDescent="0.25">
      <c r="B27" s="4" t="s">
        <v>1</v>
      </c>
      <c r="C27" s="4" t="s">
        <v>2</v>
      </c>
      <c r="D27" s="4" t="s">
        <v>3</v>
      </c>
      <c r="E27" s="4" t="s">
        <v>4</v>
      </c>
      <c r="F27" s="4" t="s">
        <v>0</v>
      </c>
      <c r="G27" s="5" t="s">
        <v>7</v>
      </c>
    </row>
    <row r="28" spans="1:7" ht="18" x14ac:dyDescent="0.25">
      <c r="A28" s="4" t="s">
        <v>5</v>
      </c>
      <c r="B28" s="9">
        <v>6.1400000000000003E-2</v>
      </c>
      <c r="C28" s="9">
        <v>0.93879999999999997</v>
      </c>
      <c r="D28" s="9">
        <v>0.27910000000000001</v>
      </c>
      <c r="E28" s="9">
        <v>0.54010000000000002</v>
      </c>
      <c r="F28" s="9">
        <v>0.87090000000000001</v>
      </c>
      <c r="G28" s="6">
        <f>AVERAGE(B28:F28)</f>
        <v>0.53805999999999998</v>
      </c>
    </row>
    <row r="29" spans="1:7" ht="18" x14ac:dyDescent="0.35">
      <c r="A29" s="4" t="s">
        <v>8</v>
      </c>
      <c r="B29" s="9">
        <v>2.0036999999999998</v>
      </c>
      <c r="C29" s="1">
        <v>0.45290000000000002</v>
      </c>
      <c r="D29" s="9">
        <v>2.8673999999999999</v>
      </c>
      <c r="E29" s="9">
        <v>1.0975999999999999</v>
      </c>
      <c r="F29" s="9">
        <v>0.3589</v>
      </c>
      <c r="G29" s="18">
        <f>AVERAGE(B29:F29)</f>
        <v>1.3561000000000001</v>
      </c>
    </row>
    <row r="30" spans="1:7" ht="18" x14ac:dyDescent="0.25">
      <c r="A30" s="4" t="s">
        <v>6</v>
      </c>
      <c r="B30" s="9">
        <v>79.510300000000001</v>
      </c>
      <c r="C30" s="9">
        <v>14.1729</v>
      </c>
      <c r="D30" s="9">
        <v>15.545</v>
      </c>
      <c r="E30" s="9">
        <v>10.000299999999999</v>
      </c>
      <c r="F30" s="9">
        <v>16.293700000000001</v>
      </c>
      <c r="G30" s="18">
        <f>AVERAGE(B30:F30)</f>
        <v>27.10444</v>
      </c>
    </row>
  </sheetData>
  <mergeCells count="6">
    <mergeCell ref="A26:G26"/>
    <mergeCell ref="A11:G11"/>
    <mergeCell ref="A6:G6"/>
    <mergeCell ref="A1:G1"/>
    <mergeCell ref="A16:G16"/>
    <mergeCell ref="A21:G21"/>
  </mergeCells>
  <phoneticPr fontId="1" type="noConversion"/>
  <pageMargins left="0.7" right="0.7" top="0.75" bottom="0.75" header="0.3" footer="0.3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85B2-5B23-4114-9400-015CABACB25A}">
  <dimension ref="A1:H30"/>
  <sheetViews>
    <sheetView zoomScale="85" zoomScaleNormal="85" workbookViewId="0">
      <selection activeCell="B4" sqref="B4"/>
    </sheetView>
  </sheetViews>
  <sheetFormatPr defaultRowHeight="13.8" x14ac:dyDescent="0.25"/>
  <cols>
    <col min="1" max="1" width="6.88671875" bestFit="1" customWidth="1"/>
    <col min="2" max="2" width="13.5546875" bestFit="1" customWidth="1"/>
    <col min="3" max="3" width="21.109375" bestFit="1" customWidth="1"/>
    <col min="4" max="4" width="10.109375" bestFit="1" customWidth="1"/>
    <col min="5" max="5" width="13.21875" customWidth="1"/>
    <col min="6" max="6" width="11.33203125" customWidth="1"/>
  </cols>
  <sheetData>
    <row r="1" spans="1:8" ht="18" x14ac:dyDescent="0.25">
      <c r="A1" s="24" t="s">
        <v>12</v>
      </c>
      <c r="B1" s="24"/>
      <c r="C1" s="24"/>
      <c r="D1" s="24"/>
      <c r="E1" s="24"/>
      <c r="F1" s="24"/>
    </row>
    <row r="2" spans="1:8" ht="18" x14ac:dyDescent="0.25">
      <c r="A2" s="4"/>
      <c r="B2" s="4" t="s">
        <v>1</v>
      </c>
      <c r="C2" s="4" t="s">
        <v>4</v>
      </c>
      <c r="D2" s="4" t="s">
        <v>0</v>
      </c>
      <c r="E2" s="4" t="s">
        <v>3</v>
      </c>
      <c r="F2" s="4" t="s">
        <v>9</v>
      </c>
    </row>
    <row r="3" spans="1:8" ht="18" x14ac:dyDescent="0.25">
      <c r="A3" s="4" t="s">
        <v>5</v>
      </c>
      <c r="B3" s="12">
        <v>0.73560000000000003</v>
      </c>
      <c r="C3" s="12">
        <v>0.33329999999999999</v>
      </c>
      <c r="D3" s="12">
        <v>0.7944</v>
      </c>
      <c r="E3" s="4">
        <v>0.26319999999999999</v>
      </c>
      <c r="F3" s="15">
        <f>AVERAGE(B3:E3)</f>
        <v>0.53162500000000001</v>
      </c>
    </row>
    <row r="4" spans="1:8" ht="18" x14ac:dyDescent="0.25">
      <c r="A4" s="4" t="s">
        <v>8</v>
      </c>
      <c r="B4" s="20">
        <v>0.56269999999999998</v>
      </c>
      <c r="C4" s="20">
        <v>0.78180000000000005</v>
      </c>
      <c r="D4" s="20">
        <v>0.60389999999999999</v>
      </c>
      <c r="E4" s="20">
        <v>1.161</v>
      </c>
      <c r="F4" s="19">
        <f>AVERAGE(B4:E4)</f>
        <v>0.77734999999999999</v>
      </c>
    </row>
    <row r="5" spans="1:8" ht="18" x14ac:dyDescent="0.35">
      <c r="A5" s="4" t="s">
        <v>6</v>
      </c>
      <c r="B5" s="20">
        <v>14.541600000000001</v>
      </c>
      <c r="C5" s="21">
        <v>21.089600000000001</v>
      </c>
      <c r="D5" s="23">
        <v>32.734999999999999</v>
      </c>
      <c r="E5" s="23">
        <v>31.0136</v>
      </c>
      <c r="F5" s="19">
        <f>AVERAGE(B5:E5)</f>
        <v>24.844949999999997</v>
      </c>
    </row>
    <row r="6" spans="1:8" ht="18" x14ac:dyDescent="0.25">
      <c r="A6" s="24" t="s">
        <v>13</v>
      </c>
      <c r="B6" s="24"/>
      <c r="C6" s="24"/>
      <c r="D6" s="24"/>
      <c r="E6" s="24"/>
      <c r="F6" s="24"/>
      <c r="G6" s="3"/>
      <c r="H6" s="3"/>
    </row>
    <row r="7" spans="1:8" ht="18" x14ac:dyDescent="0.25">
      <c r="A7" s="4"/>
      <c r="B7" s="4" t="s">
        <v>1</v>
      </c>
      <c r="C7" s="4" t="s">
        <v>4</v>
      </c>
      <c r="D7" s="4" t="s">
        <v>0</v>
      </c>
      <c r="E7" s="4" t="s">
        <v>3</v>
      </c>
      <c r="F7" s="4" t="s">
        <v>9</v>
      </c>
    </row>
    <row r="8" spans="1:8" ht="18" x14ac:dyDescent="0.25">
      <c r="A8" s="4" t="s">
        <v>5</v>
      </c>
      <c r="B8" s="4">
        <v>0.42699999999999999</v>
      </c>
      <c r="C8" s="4">
        <v>9.7299999999999998E-2</v>
      </c>
      <c r="D8" s="4">
        <v>0.77539999999999998</v>
      </c>
      <c r="E8" s="12">
        <v>0.3548</v>
      </c>
      <c r="F8" s="6">
        <f>AVERAGE(B8:E8)</f>
        <v>0.41362500000000002</v>
      </c>
    </row>
    <row r="9" spans="1:8" ht="18" x14ac:dyDescent="0.25">
      <c r="A9" s="4" t="s">
        <v>8</v>
      </c>
      <c r="B9" s="4">
        <v>1.8529</v>
      </c>
      <c r="C9" s="4">
        <v>1.8765000000000001</v>
      </c>
      <c r="D9" s="4">
        <v>0.69220000000000004</v>
      </c>
      <c r="E9" s="4">
        <v>1.5569</v>
      </c>
      <c r="F9" s="18">
        <f>AVERAGE(B9:E9)</f>
        <v>1.4946249999999999</v>
      </c>
    </row>
    <row r="10" spans="1:8" ht="18" x14ac:dyDescent="0.35">
      <c r="A10" s="4" t="s">
        <v>6</v>
      </c>
      <c r="B10" s="4">
        <v>47.884399999999999</v>
      </c>
      <c r="C10" s="4">
        <v>50.621499999999997</v>
      </c>
      <c r="D10" s="2">
        <v>37.5182</v>
      </c>
      <c r="E10" s="2">
        <v>41.588900000000002</v>
      </c>
      <c r="F10" s="18">
        <f>AVERAGE(B10:E10)</f>
        <v>44.40325</v>
      </c>
    </row>
    <row r="11" spans="1:8" ht="18" x14ac:dyDescent="0.25">
      <c r="A11" s="24" t="s">
        <v>14</v>
      </c>
      <c r="B11" s="24"/>
      <c r="C11" s="24"/>
      <c r="D11" s="24"/>
      <c r="E11" s="24"/>
      <c r="F11" s="24"/>
      <c r="G11" s="3"/>
      <c r="H11" s="3"/>
    </row>
    <row r="12" spans="1:8" ht="18" x14ac:dyDescent="0.25">
      <c r="A12" s="4"/>
      <c r="B12" s="4" t="s">
        <v>1</v>
      </c>
      <c r="C12" s="4" t="s">
        <v>4</v>
      </c>
      <c r="D12" s="4" t="s">
        <v>0</v>
      </c>
      <c r="E12" s="4" t="s">
        <v>3</v>
      </c>
      <c r="F12" s="4" t="s">
        <v>9</v>
      </c>
    </row>
    <row r="13" spans="1:8" ht="18" x14ac:dyDescent="0.25">
      <c r="A13" s="4" t="s">
        <v>5</v>
      </c>
      <c r="B13" s="4">
        <v>0.4138</v>
      </c>
      <c r="C13" s="4">
        <v>9.0899999999999995E-2</v>
      </c>
      <c r="D13" s="4">
        <v>0.78</v>
      </c>
      <c r="E13" s="4">
        <v>0.1081</v>
      </c>
      <c r="F13" s="6">
        <f>AVERAGE(B13:E13)</f>
        <v>0.34820000000000001</v>
      </c>
    </row>
    <row r="14" spans="1:8" ht="18" x14ac:dyDescent="0.25">
      <c r="A14" s="4" t="s">
        <v>8</v>
      </c>
      <c r="B14" s="4">
        <v>1.2378</v>
      </c>
      <c r="C14" s="4">
        <v>2.0047999999999999</v>
      </c>
      <c r="D14" s="4">
        <v>0.66510000000000002</v>
      </c>
      <c r="E14" s="4">
        <v>1.5061</v>
      </c>
      <c r="F14" s="18">
        <f>AVERAGE(B14:E14)</f>
        <v>1.35345</v>
      </c>
    </row>
    <row r="15" spans="1:8" ht="18" x14ac:dyDescent="0.35">
      <c r="A15" s="4" t="s">
        <v>6</v>
      </c>
      <c r="B15" s="4">
        <v>31.988099999999999</v>
      </c>
      <c r="C15" s="4">
        <v>54.0822</v>
      </c>
      <c r="D15" s="2">
        <v>36.049199999999999</v>
      </c>
      <c r="E15" s="2">
        <v>40.231699999999996</v>
      </c>
      <c r="F15" s="18">
        <f>AVERAGE(B15:E15)</f>
        <v>40.587800000000001</v>
      </c>
    </row>
    <row r="16" spans="1:8" ht="18" x14ac:dyDescent="0.25">
      <c r="A16" s="25" t="s">
        <v>16</v>
      </c>
      <c r="B16" s="24"/>
      <c r="C16" s="24"/>
      <c r="D16" s="24"/>
      <c r="E16" s="24"/>
      <c r="F16" s="24"/>
      <c r="G16" s="3"/>
      <c r="H16" s="3"/>
    </row>
    <row r="17" spans="1:7" ht="18" x14ac:dyDescent="0.25">
      <c r="A17" s="4"/>
      <c r="B17" s="4" t="s">
        <v>1</v>
      </c>
      <c r="C17" s="4" t="s">
        <v>4</v>
      </c>
      <c r="D17" s="4" t="s">
        <v>0</v>
      </c>
      <c r="E17" s="4" t="s">
        <v>3</v>
      </c>
      <c r="F17" s="4" t="s">
        <v>9</v>
      </c>
    </row>
    <row r="18" spans="1:7" ht="18" x14ac:dyDescent="0.25">
      <c r="A18" s="4" t="s">
        <v>5</v>
      </c>
      <c r="B18" s="4">
        <v>0.56599999999999995</v>
      </c>
      <c r="C18" s="4">
        <v>7.1199999999999999E-2</v>
      </c>
      <c r="D18" s="4">
        <v>0.432</v>
      </c>
      <c r="E18" s="4">
        <v>0</v>
      </c>
      <c r="F18" s="6">
        <f>AVERAGE(B18:E18)</f>
        <v>0.26729999999999998</v>
      </c>
    </row>
    <row r="19" spans="1:7" ht="18" x14ac:dyDescent="0.25">
      <c r="A19" s="4" t="s">
        <v>8</v>
      </c>
      <c r="B19" s="4">
        <v>1.3682000000000001</v>
      </c>
      <c r="C19" s="4">
        <v>2.2136</v>
      </c>
      <c r="D19" s="4">
        <v>1.6016999999999999</v>
      </c>
      <c r="E19" s="4">
        <v>1.9934000000000001</v>
      </c>
      <c r="F19" s="18">
        <f>AVERAGE(B19:E19)</f>
        <v>1.7942250000000002</v>
      </c>
    </row>
    <row r="20" spans="1:7" ht="18" x14ac:dyDescent="0.35">
      <c r="A20" s="4" t="s">
        <v>6</v>
      </c>
      <c r="B20" s="4">
        <v>35.3583</v>
      </c>
      <c r="C20" s="4">
        <v>59.715499999999999</v>
      </c>
      <c r="D20" s="2">
        <v>86.819100000000006</v>
      </c>
      <c r="E20" s="2">
        <v>53.2468</v>
      </c>
      <c r="F20" s="18">
        <f>AVERAGE(B20:E20)</f>
        <v>58.784925000000001</v>
      </c>
    </row>
    <row r="21" spans="1:7" ht="18" x14ac:dyDescent="0.25">
      <c r="A21" s="24" t="s">
        <v>15</v>
      </c>
      <c r="B21" s="24"/>
      <c r="C21" s="24"/>
      <c r="D21" s="24"/>
      <c r="E21" s="24"/>
      <c r="F21" s="24"/>
    </row>
    <row r="22" spans="1:7" ht="18" x14ac:dyDescent="0.25">
      <c r="A22" s="4"/>
      <c r="B22" s="4" t="s">
        <v>1</v>
      </c>
      <c r="C22" s="4" t="s">
        <v>4</v>
      </c>
      <c r="D22" s="4" t="s">
        <v>0</v>
      </c>
      <c r="E22" s="4" t="s">
        <v>3</v>
      </c>
      <c r="F22" s="4" t="s">
        <v>9</v>
      </c>
    </row>
    <row r="23" spans="1:7" ht="18" x14ac:dyDescent="0.25">
      <c r="A23" s="4" t="s">
        <v>5</v>
      </c>
      <c r="B23" s="4">
        <v>0.45240000000000002</v>
      </c>
      <c r="C23" s="4">
        <v>0.1356</v>
      </c>
      <c r="D23" s="4">
        <v>0.77690000000000003</v>
      </c>
      <c r="E23" s="4">
        <v>0.1429</v>
      </c>
      <c r="F23" s="6">
        <f>AVERAGE(B23:E23)</f>
        <v>0.37695000000000001</v>
      </c>
    </row>
    <row r="24" spans="1:7" ht="18" x14ac:dyDescent="0.25">
      <c r="A24" s="4" t="s">
        <v>8</v>
      </c>
      <c r="B24" s="4">
        <v>1.367</v>
      </c>
      <c r="C24" s="4">
        <v>1.5736000000000001</v>
      </c>
      <c r="D24" s="4">
        <v>0.65890000000000004</v>
      </c>
      <c r="E24" s="4">
        <v>1.663</v>
      </c>
      <c r="F24" s="18">
        <f>AVERAGE(B24:E24)</f>
        <v>1.315625</v>
      </c>
    </row>
    <row r="25" spans="1:7" ht="18" x14ac:dyDescent="0.35">
      <c r="A25" s="4" t="s">
        <v>6</v>
      </c>
      <c r="B25" s="4">
        <v>35.326099999999997</v>
      </c>
      <c r="C25" s="4">
        <v>42.450299999999999</v>
      </c>
      <c r="D25" s="2">
        <v>35.716299999999997</v>
      </c>
      <c r="E25" s="2">
        <v>44.422899999999998</v>
      </c>
      <c r="F25" s="18">
        <f>AVERAGE(B25:E25)</f>
        <v>39.478899999999996</v>
      </c>
    </row>
    <row r="26" spans="1:7" ht="18" x14ac:dyDescent="0.25">
      <c r="A26" s="24" t="s">
        <v>17</v>
      </c>
      <c r="B26" s="24"/>
      <c r="C26" s="24"/>
      <c r="D26" s="24"/>
      <c r="E26" s="24"/>
      <c r="F26" s="24"/>
      <c r="G26" s="3"/>
    </row>
    <row r="27" spans="1:7" ht="18" x14ac:dyDescent="0.25">
      <c r="A27" s="4"/>
      <c r="B27" s="4" t="s">
        <v>1</v>
      </c>
      <c r="C27" s="4" t="s">
        <v>4</v>
      </c>
      <c r="D27" s="4" t="s">
        <v>0</v>
      </c>
      <c r="E27" s="4" t="s">
        <v>3</v>
      </c>
      <c r="F27" s="4" t="s">
        <v>9</v>
      </c>
    </row>
    <row r="28" spans="1:7" ht="18" x14ac:dyDescent="0.25">
      <c r="A28" s="4" t="s">
        <v>5</v>
      </c>
      <c r="B28" s="9">
        <v>0.52500000000000002</v>
      </c>
      <c r="C28" s="9">
        <v>0.19819999999999999</v>
      </c>
      <c r="D28" s="9">
        <v>0.76629999999999998</v>
      </c>
      <c r="E28" s="9">
        <v>0.22220000000000001</v>
      </c>
      <c r="F28" s="6">
        <f>AVERAGE(B28:E28)</f>
        <v>0.427925</v>
      </c>
    </row>
    <row r="29" spans="1:7" ht="18" x14ac:dyDescent="0.25">
      <c r="A29" s="4" t="s">
        <v>8</v>
      </c>
      <c r="B29" s="9">
        <v>0.93240000000000001</v>
      </c>
      <c r="C29" s="9">
        <v>0.74729999999999996</v>
      </c>
      <c r="D29" s="9">
        <v>0.64390000000000003</v>
      </c>
      <c r="E29" s="9">
        <v>2.9683000000000002</v>
      </c>
      <c r="F29" s="18">
        <f>AVERAGE(B29:E29)</f>
        <v>1.322975</v>
      </c>
    </row>
    <row r="30" spans="1:7" ht="18" x14ac:dyDescent="0.25">
      <c r="A30" s="4" t="s">
        <v>6</v>
      </c>
      <c r="B30" s="9">
        <v>24.0961</v>
      </c>
      <c r="C30" s="22">
        <v>20.160699999999999</v>
      </c>
      <c r="D30" s="9">
        <v>34.9011</v>
      </c>
      <c r="E30" s="9">
        <v>79.290499999999994</v>
      </c>
      <c r="F30" s="18">
        <f>AVERAGE(B30:E30)</f>
        <v>39.612099999999998</v>
      </c>
    </row>
  </sheetData>
  <mergeCells count="6">
    <mergeCell ref="A26:F26"/>
    <mergeCell ref="A21:F21"/>
    <mergeCell ref="A1:F1"/>
    <mergeCell ref="A6:F6"/>
    <mergeCell ref="A11:F11"/>
    <mergeCell ref="A16:F16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负荷分解+状态识别 消融实验 UK-DALE</vt:lpstr>
      <vt:lpstr>负荷分解+状态识别 对比实验 UK-DALE</vt:lpstr>
      <vt:lpstr>负荷分解+状态识别 对比实验 REDD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小何爸爸</dc:creator>
  <cp:lastModifiedBy>敬洋 何</cp:lastModifiedBy>
  <cp:lastPrinted>2026-08-27T12:44:49Z</cp:lastPrinted>
  <dcterms:created xsi:type="dcterms:W3CDTF">2015-06-05T18:19:34Z</dcterms:created>
  <dcterms:modified xsi:type="dcterms:W3CDTF">2026-09-28T04:52:38Z</dcterms:modified>
</cp:coreProperties>
</file>